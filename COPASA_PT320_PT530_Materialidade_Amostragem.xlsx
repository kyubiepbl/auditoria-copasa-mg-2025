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terialidade" sheetId="1" state="visible" r:id="rId3"/>
    <sheet name="Amostragem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<sst xmlns="http://schemas.openxmlformats.org/spreadsheetml/2006/main" count="24" uniqueCount="23">
  <si>
    <t xml:space="preserve">Métrica-Base: Total do Ativo Consolidado 2025 (R$)</t>
  </si>
  <si>
    <t xml:space="preserve">Fonte: DFP COPASA 2025, Balanço Patrimonial consolidado, TOTAL DO ATIVO = R$ 17.737.247 mil (convertido para R$). Mesmo valor usado no PT 320 do dossiê. Célula amarela/azul = editável.</t>
  </si>
  <si>
    <t xml:space="preserve">% Materialidade Global</t>
  </si>
  <si>
    <t xml:space="preserve">Premissa do PT 320 do dossiê (1% do Total do Ativo, empresa de serviço público intensiva em capital).</t>
  </si>
  <si>
    <t xml:space="preserve">Materialidade Global (Planejamento)</t>
  </si>
  <si>
    <t xml:space="preserve">Cálculo: B1 × B2</t>
  </si>
  <si>
    <t xml:space="preserve">% Materialidade de Execução (Tolerável)</t>
  </si>
  <si>
    <t xml:space="preserve">Premissa do PT 320 do dossiê (75% da global).</t>
  </si>
  <si>
    <t xml:space="preserve">Materialidade de Execução</t>
  </si>
  <si>
    <t xml:space="preserve">Cálculo: B3 × B4</t>
  </si>
  <si>
    <t xml:space="preserve">% Limite de Distorções Não Corrigidas (SUD)</t>
  </si>
  <si>
    <t xml:space="preserve">Premissa do PT 320 do dossiê (5% da global).</t>
  </si>
  <si>
    <t xml:space="preserve">Limite Máximo de Distorções</t>
  </si>
  <si>
    <t xml:space="preserve">Cálculo: B3 × B6</t>
  </si>
  <si>
    <t xml:space="preserve">Valor Total da População (Saldo dos Intangíveis) (R$)</t>
  </si>
  <si>
    <t xml:space="preserve">Fonte: DFP COPASA 2025, Balanço consolidado, Intangível (nota 11) = R$ 7.179.980 mil, convertido para R$. Atenção: o dossiê (PT 530) cita R$ 14,85 bi para Intangível + Imobilizado, valor que não bate com a DFP (consolidado: 7.179.980 + 1.758.090 mil = R$ 8,94 bi).</t>
  </si>
  <si>
    <t xml:space="preserve">Fator de Confiança (Risco de Auditoria)</t>
  </si>
  <si>
    <t xml:space="preserve">Premissa: 3,0 ≈ 95% de confiança (Poisson, zero erros esperados), conforme enunciado da planilha.</t>
  </si>
  <si>
    <t xml:space="preserve">Vínculo com a aba Materialidade (B5).</t>
  </si>
  <si>
    <t xml:space="preserve">Intervalo de Amostragem</t>
  </si>
  <si>
    <t xml:space="preserve">Cálculo: Materialidade de Execução ÷ Fator de Confiança</t>
  </si>
  <si>
    <t xml:space="preserve">Tamanho Mínimo da Amostra (Qtd)</t>
  </si>
  <si>
    <t xml:space="preserve">Cálculo: população ÷ intervalo, arredondado para cima (ARRED.PARA.CIMA no Excel em português).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</si>
</sst>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;&quot;(R$ &quot;#,##0.00\);\-"/>
    <numFmt numFmtId="166" formatCode="0.0%"/>
    <numFmt numFmtId="167" formatCode="0.0"/>
    <numFmt numFmtId="168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Times New Roman"/>
      <family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5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24"/>
    <col collapsed="false" customWidth="true" hidden="false" outlineLevel="0" max="3" min="3" style="1" width="80"/>
  </cols>
  <sheetData>
    <row r="1" customFormat="false" ht="23.85" hidden="false" customHeight="false" outlineLevel="0" collapsed="false">
      <c r="A1" s="2" t="s">
        <v>0</v>
      </c>
      <c r="B1" s="3" t="n">
        <v>17737247000</v>
      </c>
      <c r="C1" s="4" t="s">
        <v>1</v>
      </c>
    </row>
    <row r="2" customFormat="false" ht="15" hidden="false" customHeight="false" outlineLevel="0" collapsed="false">
      <c r="A2" s="2" t="s">
        <v>2</v>
      </c>
      <c r="B2" s="5" t="n">
        <v>0.01</v>
      </c>
      <c r="C2" s="4" t="s">
        <v>3</v>
      </c>
    </row>
    <row r="3" customFormat="false" ht="15" hidden="false" customHeight="false" outlineLevel="0" collapsed="false">
      <c r="A3" s="2" t="s">
        <v>4</v>
      </c>
      <c r="B3" s="6" t="n">
        <f aca="false">B1*B2</f>
        <v>177372470</v>
      </c>
      <c r="C3" s="4" t="s">
        <v>5</v>
      </c>
    </row>
    <row r="4" customFormat="false" ht="15" hidden="false" customHeight="false" outlineLevel="0" collapsed="false">
      <c r="A4" s="2" t="s">
        <v>6</v>
      </c>
      <c r="B4" s="5" t="n">
        <v>0.75</v>
      </c>
      <c r="C4" s="4" t="s">
        <v>7</v>
      </c>
    </row>
    <row r="5" customFormat="false" ht="15" hidden="false" customHeight="false" outlineLevel="0" collapsed="false">
      <c r="A5" s="2" t="s">
        <v>8</v>
      </c>
      <c r="B5" s="6" t="n">
        <f aca="false">B3*B4</f>
        <v>133029352.5</v>
      </c>
      <c r="C5" s="4" t="s">
        <v>9</v>
      </c>
    </row>
    <row r="6" customFormat="false" ht="15" hidden="false" customHeight="false" outlineLevel="0" collapsed="false">
      <c r="A6" s="2" t="s">
        <v>10</v>
      </c>
      <c r="B6" s="5" t="n">
        <v>0.05</v>
      </c>
      <c r="C6" s="4" t="s">
        <v>11</v>
      </c>
    </row>
    <row r="7" customFormat="false" ht="15" hidden="false" customHeight="false" outlineLevel="0" collapsed="false">
      <c r="A7" s="2" t="s">
        <v>12</v>
      </c>
      <c r="B7" s="6" t="n">
        <f aca="false">B3*B6</f>
        <v>8868623.5</v>
      </c>
      <c r="C7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C5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24"/>
    <col collapsed="false" customWidth="true" hidden="false" outlineLevel="0" max="3" min="3" style="1" width="80"/>
  </cols>
  <sheetData>
    <row r="1" customFormat="false" ht="35.05" hidden="false" customHeight="false" outlineLevel="0" collapsed="false">
      <c r="A1" s="2" t="s">
        <v>14</v>
      </c>
      <c r="B1" s="7" t="n">
        <v>14850000000</v>
      </c>
      <c r="C1" s="4" t="s">
        <v>15</v>
      </c>
    </row>
    <row r="2" customFormat="false" ht="15" hidden="false" customHeight="false" outlineLevel="0" collapsed="false">
      <c r="A2" s="2" t="s">
        <v>16</v>
      </c>
      <c r="B2" s="8" t="n">
        <v>3</v>
      </c>
      <c r="C2" s="4" t="s">
        <v>17</v>
      </c>
    </row>
    <row r="3" customFormat="false" ht="15" hidden="false" customHeight="false" outlineLevel="0" collapsed="false">
      <c r="A3" s="2" t="s">
        <v>8</v>
      </c>
      <c r="B3" s="9" t="n">
        <f aca="false">Materialidade!B5</f>
        <v>133029352.5</v>
      </c>
      <c r="C3" s="4" t="s">
        <v>18</v>
      </c>
    </row>
    <row r="4" customFormat="false" ht="15" hidden="false" customHeight="false" outlineLevel="0" collapsed="false">
      <c r="A4" s="2" t="s">
        <v>19</v>
      </c>
      <c r="B4" s="6" t="n">
        <f aca="false">B3/B2</f>
        <v>44343117.5</v>
      </c>
      <c r="C4" s="4" t="s">
        <v>20</v>
      </c>
    </row>
    <row r="5" customFormat="false" ht="15" hidden="false" customHeight="false" outlineLevel="0" collapsed="false">
      <c r="A5" s="2" t="s">
        <v>21</v>
      </c>
      <c r="B5" s="10" t="n">
        <f aca="false">ROUNDUP(B1/B4,0)</f>
        <v>335</v>
      </c>
      <c r="C5" s="4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2026-10-23T20:12:04Z</dcterms:created>
  <dc:creator>openpyxl</dc:creator>
  <dc:description/>
  <dc:language>en-US</dc:language>
  <cp:lastModifiedBy/>
  <dcterms:modified xsi:type="dcterms:W3CDTF">2026-10-23T17:30:21Z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